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per\Programming\dominion-setup-counter\"/>
    </mc:Choice>
  </mc:AlternateContent>
  <xr:revisionPtr revIDLastSave="0" documentId="13_ncr:1_{E1DCF6FE-E7C6-4F8D-8EE6-633D34DDC1F9}" xr6:coauthVersionLast="47" xr6:coauthVersionMax="47" xr10:uidLastSave="{00000000-0000-0000-0000-000000000000}"/>
  <bookViews>
    <workbookView xWindow="-120" yWindow="-120" windowWidth="29040" windowHeight="17520" activeTab="1" xr2:uid="{F06B0B1D-417B-4A15-B5BA-AD74C958EC7E}"/>
  </bookViews>
  <sheets>
    <sheet name="Blad1" sheetId="1" r:id="rId1"/>
    <sheet name="Blad2" sheetId="2" r:id="rId2"/>
  </sheets>
  <definedNames>
    <definedName name="_xlnm._FilterDatabase" localSheetId="0" hidden="1">Blad1!$A$2:$F$27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C4" i="2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" i="1"/>
  <c r="I27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H8" i="1"/>
  <c r="I8" i="1"/>
  <c r="J8" i="1"/>
  <c r="K8" i="1"/>
  <c r="L8" i="1"/>
  <c r="M8" i="1"/>
  <c r="H9" i="1"/>
  <c r="I9" i="1"/>
  <c r="J9" i="1"/>
  <c r="K9" i="1"/>
  <c r="L9" i="1"/>
  <c r="M9" i="1"/>
  <c r="H10" i="1"/>
  <c r="I10" i="1"/>
  <c r="J10" i="1"/>
  <c r="K10" i="1"/>
  <c r="L10" i="1"/>
  <c r="M10" i="1"/>
  <c r="H11" i="1"/>
  <c r="I11" i="1"/>
  <c r="J11" i="1"/>
  <c r="K11" i="1"/>
  <c r="L11" i="1"/>
  <c r="M11" i="1"/>
  <c r="H12" i="1"/>
  <c r="I12" i="1"/>
  <c r="J12" i="1"/>
  <c r="K12" i="1"/>
  <c r="L12" i="1"/>
  <c r="M12" i="1"/>
  <c r="H13" i="1"/>
  <c r="I13" i="1"/>
  <c r="J13" i="1"/>
  <c r="K13" i="1"/>
  <c r="L13" i="1"/>
  <c r="M13" i="1"/>
  <c r="H14" i="1"/>
  <c r="I14" i="1"/>
  <c r="J14" i="1"/>
  <c r="K14" i="1"/>
  <c r="L14" i="1"/>
  <c r="M14" i="1"/>
  <c r="H15" i="1"/>
  <c r="I15" i="1"/>
  <c r="J15" i="1"/>
  <c r="K15" i="1"/>
  <c r="L15" i="1"/>
  <c r="M15" i="1"/>
  <c r="H16" i="1"/>
  <c r="I16" i="1"/>
  <c r="J16" i="1"/>
  <c r="K16" i="1"/>
  <c r="L16" i="1"/>
  <c r="M16" i="1"/>
  <c r="H17" i="1"/>
  <c r="I17" i="1"/>
  <c r="J17" i="1"/>
  <c r="K17" i="1"/>
  <c r="L17" i="1"/>
  <c r="M17" i="1"/>
  <c r="H18" i="1"/>
  <c r="I18" i="1"/>
  <c r="J18" i="1"/>
  <c r="K18" i="1"/>
  <c r="L18" i="1"/>
  <c r="M18" i="1"/>
  <c r="N18" i="1" s="1"/>
  <c r="H19" i="1"/>
  <c r="I19" i="1"/>
  <c r="J19" i="1"/>
  <c r="K19" i="1"/>
  <c r="L19" i="1"/>
  <c r="M19" i="1"/>
  <c r="H20" i="1"/>
  <c r="I20" i="1"/>
  <c r="J20" i="1"/>
  <c r="K20" i="1"/>
  <c r="L20" i="1"/>
  <c r="M20" i="1"/>
  <c r="H21" i="1"/>
  <c r="I21" i="1"/>
  <c r="J21" i="1"/>
  <c r="K21" i="1"/>
  <c r="L21" i="1"/>
  <c r="M21" i="1"/>
  <c r="H22" i="1"/>
  <c r="I22" i="1"/>
  <c r="J22" i="1"/>
  <c r="K22" i="1"/>
  <c r="L22" i="1"/>
  <c r="M22" i="1"/>
  <c r="H23" i="1"/>
  <c r="I23" i="1"/>
  <c r="J23" i="1"/>
  <c r="K23" i="1"/>
  <c r="L23" i="1"/>
  <c r="M23" i="1"/>
  <c r="H24" i="1"/>
  <c r="I24" i="1"/>
  <c r="J24" i="1"/>
  <c r="K24" i="1"/>
  <c r="L24" i="1"/>
  <c r="M24" i="1"/>
  <c r="H25" i="1"/>
  <c r="I25" i="1"/>
  <c r="J25" i="1"/>
  <c r="K25" i="1"/>
  <c r="L25" i="1"/>
  <c r="M25" i="1"/>
  <c r="H26" i="1"/>
  <c r="I26" i="1"/>
  <c r="J26" i="1"/>
  <c r="K26" i="1"/>
  <c r="L26" i="1"/>
  <c r="M26" i="1"/>
  <c r="H27" i="1"/>
  <c r="J27" i="1"/>
  <c r="K27" i="1"/>
  <c r="L27" i="1"/>
  <c r="M27" i="1"/>
  <c r="I3" i="1"/>
  <c r="J3" i="1"/>
  <c r="K3" i="1"/>
  <c r="L3" i="1"/>
  <c r="M3" i="1"/>
  <c r="H3" i="1"/>
  <c r="N3" i="1" s="1"/>
  <c r="N21" i="1" l="1"/>
  <c r="N11" i="1"/>
  <c r="N20" i="1"/>
  <c r="N22" i="1"/>
  <c r="N14" i="1"/>
  <c r="N12" i="1"/>
  <c r="N5" i="1"/>
  <c r="N24" i="1"/>
  <c r="N26" i="1"/>
  <c r="N25" i="1"/>
  <c r="N15" i="1"/>
  <c r="N23" i="1"/>
  <c r="N6" i="1"/>
  <c r="N19" i="1"/>
  <c r="N8" i="1"/>
  <c r="N13" i="1"/>
  <c r="N16" i="1"/>
  <c r="N9" i="1"/>
  <c r="N27" i="1"/>
  <c r="N17" i="1"/>
  <c r="N7" i="1"/>
  <c r="N4" i="1"/>
  <c r="N10" i="1"/>
</calcChain>
</file>

<file path=xl/sharedStrings.xml><?xml version="1.0" encoding="utf-8"?>
<sst xmlns="http://schemas.openxmlformats.org/spreadsheetml/2006/main" count="158" uniqueCount="29">
  <si>
    <t>Other</t>
  </si>
  <si>
    <t>Loot Events</t>
  </si>
  <si>
    <t>Curse</t>
  </si>
  <si>
    <t>Obelisk</t>
  </si>
  <si>
    <t>WotM</t>
  </si>
  <si>
    <t>Other Traits</t>
  </si>
  <si>
    <t>Num Combinations</t>
  </si>
  <si>
    <t>ECD has GainsLoot?</t>
  </si>
  <si>
    <t>No</t>
  </si>
  <si>
    <t>Yes</t>
  </si>
  <si>
    <t>Num Action/Treasure in ECD</t>
  </si>
  <si>
    <t>N (2+)</t>
  </si>
  <si>
    <t>NL</t>
  </si>
  <si>
    <t>NLW</t>
  </si>
  <si>
    <t>NLO</t>
  </si>
  <si>
    <t>L</t>
  </si>
  <si>
    <t>Total traits</t>
  </si>
  <si>
    <t>NL / L</t>
  </si>
  <si>
    <t>LO</t>
  </si>
  <si>
    <t>NLOW</t>
  </si>
  <si>
    <t>LW</t>
  </si>
  <si>
    <t>LOW</t>
  </si>
  <si>
    <t>ECD No loot</t>
  </si>
  <si>
    <t>ECD Loot</t>
  </si>
  <si>
    <t>0 AT</t>
  </si>
  <si>
    <t>1 AT</t>
  </si>
  <si>
    <t>N AT</t>
  </si>
  <si>
    <t>N</t>
  </si>
  <si>
    <t>N(N-1)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</si>
</sst>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8" xfId="0" applyFont="1" applyBorder="1"/>
    <xf numFmtId="0" fontId="0" fillId="0" borderId="0" xfId="0" applyFill="1" applyBorder="1"/>
    <xf numFmtId="0" fontId="0" fillId="0" borderId="3" xfId="0" applyFill="1" applyBorder="1"/>
    <xf numFmtId="0" fontId="0" fillId="0" borderId="9" xfId="0" applyFill="1" applyBorder="1"/>
    <xf numFmtId="0" fontId="0" fillId="0" borderId="4" xfId="0" applyFill="1" applyBorder="1"/>
    <xf numFmtId="0" fontId="0" fillId="0" borderId="10" xfId="0" applyFill="1" applyBorder="1"/>
    <xf numFmtId="0" fontId="0" fillId="0" borderId="5" xfId="0" applyFill="1" applyBorder="1"/>
    <xf numFmtId="0" fontId="0" fillId="0" borderId="8" xfId="0" applyFill="1" applyBorder="1"/>
    <xf numFmtId="0" fontId="0" fillId="0" borderId="6" xfId="0" applyFill="1" applyBorder="1"/>
    <xf numFmtId="0" fontId="0" fillId="0" borderId="7" xfId="0" applyFill="1" applyBorder="1"/>
    <xf numFmtId="0" fontId="0" fillId="2" borderId="0" xfId="0" applyFill="1"/>
    <xf numFmtId="0" fontId="0" fillId="2" borderId="0" xfId="0" applyFill="1" applyBorder="1"/>
    <xf numFmtId="0" fontId="0" fillId="2" borderId="1" xfId="0" applyFill="1" applyBorder="1"/>
  </cellXfs>
  <cellStyles count="1">
    <cellStyle name="Standaard" xfId="0" builtinId="0"/>
  </cellStyles>
  <dxfs count="3"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38100</xdr:colOff>
      <xdr:row>0</xdr:row>
      <xdr:rowOff>104775</xdr:rowOff>
    </xdr:from>
    <xdr:to>
      <xdr:col>23</xdr:col>
      <xdr:colOff>19050</xdr:colOff>
      <xdr:row>1</xdr:row>
      <xdr:rowOff>180975</xdr:rowOff>
    </xdr:to>
    <xdr:sp macro="" textlink="">
      <xdr:nvSpPr>
        <xdr:cNvPr id="3" name="Pijl: links 2">
          <a:extLst>
            <a:ext uri="{FF2B5EF4-FFF2-40B4-BE49-F238E27FC236}">
              <a16:creationId xmlns:a16="http://schemas.microsoft.com/office/drawing/2014/main" id="{A67D89FF-684D-AE30-E97D-916211F2258D}"/>
            </a:ext>
          </a:extLst>
        </xdr:cNvPr>
        <xdr:cNvSpPr/>
      </xdr:nvSpPr>
      <xdr:spPr>
        <a:xfrm>
          <a:off x="11706225" y="104775"/>
          <a:ext cx="590550" cy="2667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23</xdr:col>
      <xdr:colOff>9524</xdr:colOff>
      <xdr:row>0</xdr:row>
      <xdr:rowOff>66675</xdr:rowOff>
    </xdr:from>
    <xdr:to>
      <xdr:col>26</xdr:col>
      <xdr:colOff>285750</xdr:colOff>
      <xdr:row>3</xdr:row>
      <xdr:rowOff>133350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E3723941-4127-3F01-A274-81109A4220AB}"/>
            </a:ext>
          </a:extLst>
        </xdr:cNvPr>
        <xdr:cNvSpPr txBox="1"/>
      </xdr:nvSpPr>
      <xdr:spPr>
        <a:xfrm>
          <a:off x="12287249" y="66675"/>
          <a:ext cx="2105026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L" sz="1100"/>
            <a:t>All GainsLoot</a:t>
          </a:r>
          <a:r>
            <a:rPr lang="en-NL" sz="1100" baseline="0"/>
            <a:t> cards in the kingdom phase are Action or Treasure so 0 does not exist.</a:t>
          </a:r>
        </a:p>
      </xdr:txBody>
    </xdr:sp>
    <xdr:clientData/>
  </xdr:twoCellAnchor>
  <xdr:twoCellAnchor>
    <xdr:from>
      <xdr:col>22</xdr:col>
      <xdr:colOff>19050</xdr:colOff>
      <xdr:row>14</xdr:row>
      <xdr:rowOff>66675</xdr:rowOff>
    </xdr:from>
    <xdr:to>
      <xdr:col>23</xdr:col>
      <xdr:colOff>0</xdr:colOff>
      <xdr:row>15</xdr:row>
      <xdr:rowOff>142875</xdr:rowOff>
    </xdr:to>
    <xdr:sp macro="" textlink="">
      <xdr:nvSpPr>
        <xdr:cNvPr id="5" name="Pijl: links 4">
          <a:extLst>
            <a:ext uri="{FF2B5EF4-FFF2-40B4-BE49-F238E27FC236}">
              <a16:creationId xmlns:a16="http://schemas.microsoft.com/office/drawing/2014/main" id="{10E1DBB1-0FDA-4DB4-94C7-6485CA3C28B0}"/>
            </a:ext>
          </a:extLst>
        </xdr:cNvPr>
        <xdr:cNvSpPr/>
      </xdr:nvSpPr>
      <xdr:spPr>
        <a:xfrm>
          <a:off x="11687175" y="2733675"/>
          <a:ext cx="590550" cy="2667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23</xdr:col>
      <xdr:colOff>19049</xdr:colOff>
      <xdr:row>9</xdr:row>
      <xdr:rowOff>123825</xdr:rowOff>
    </xdr:from>
    <xdr:to>
      <xdr:col>29</xdr:col>
      <xdr:colOff>171450</xdr:colOff>
      <xdr:row>17</xdr:row>
      <xdr:rowOff>47625</xdr:rowOff>
    </xdr:to>
    <xdr:sp macro="" textlink="">
      <xdr:nvSpPr>
        <xdr:cNvPr id="6" name="Tekstvak 5">
          <a:extLst>
            <a:ext uri="{FF2B5EF4-FFF2-40B4-BE49-F238E27FC236}">
              <a16:creationId xmlns:a16="http://schemas.microsoft.com/office/drawing/2014/main" id="{C678506C-C51D-4B94-B31D-48784BE6E3B2}"/>
            </a:ext>
          </a:extLst>
        </xdr:cNvPr>
        <xdr:cNvSpPr txBox="1"/>
      </xdr:nvSpPr>
      <xdr:spPr>
        <a:xfrm>
          <a:off x="12296774" y="1838325"/>
          <a:ext cx="3810001" cy="1447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L" sz="1100"/>
            <a:t>Yellow</a:t>
          </a:r>
          <a:r>
            <a:rPr lang="en-NL" sz="1100" baseline="0"/>
            <a:t> cells</a:t>
          </a:r>
          <a:r>
            <a:rPr lang="en-NL" sz="1100"/>
            <a:t> are special,</a:t>
          </a:r>
          <a:r>
            <a:rPr lang="en-NL" sz="1100" baseline="0"/>
            <a:t> as in these cases there are 2 ways to divide the traits over the A/T cards. </a:t>
          </a:r>
        </a:p>
        <a:p>
          <a:endParaRPr lang="en-NL" sz="1100" baseline="0"/>
        </a:p>
        <a:p>
          <a:r>
            <a:rPr lang="en-NL" sz="1100" baseline="0"/>
            <a:t>Red lined cell: divide Curse + another trait over a kingdom supply containing only 1 AT card but no GainsLoot. There would be 2 ways do choose, but 1 gives Loot and 1 does not. So 14 each instead of 28.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37CB-1259-4E8B-9F96-845C59ADB0A1}">
  <dimension ref="A1:V27"/>
  <sheetViews>
    <sheetView workbookViewId="0">
      <selection activeCell="AA21" sqref="AA21"/>
    </sheetView>
  </sheetViews>
  <sheetFormatPr defaultRowHeight="15" x14ac:dyDescent="0.25"/>
  <cols>
    <col min="1" max="6" width="12.7109375" customWidth="1"/>
    <col min="8" max="13" width="4.7109375" hidden="1" customWidth="1"/>
    <col min="14" max="15" width="19.140625" customWidth="1"/>
    <col min="16" max="16" width="7.7109375" customWidth="1"/>
    <col min="17" max="17" width="26.85546875" hidden="1" customWidth="1"/>
    <col min="18" max="22" width="8.7109375" customWidth="1"/>
  </cols>
  <sheetData>
    <row r="1" spans="1:22" x14ac:dyDescent="0.25">
      <c r="A1" s="1">
        <v>133</v>
      </c>
      <c r="B1" s="1">
        <v>5</v>
      </c>
      <c r="C1" s="1">
        <v>14</v>
      </c>
      <c r="D1" s="1">
        <v>1</v>
      </c>
      <c r="E1" s="1">
        <v>1</v>
      </c>
      <c r="F1" s="1">
        <v>1</v>
      </c>
      <c r="Q1" t="s">
        <v>7</v>
      </c>
      <c r="R1" s="2" t="s">
        <v>8</v>
      </c>
      <c r="S1" s="2"/>
      <c r="T1" s="2"/>
      <c r="U1" s="2" t="s">
        <v>9</v>
      </c>
      <c r="V1" s="2"/>
    </row>
    <row r="2" spans="1:22" x14ac:dyDescent="0.25">
      <c r="A2" s="1" t="s">
        <v>0</v>
      </c>
      <c r="B2" s="1" t="s">
        <v>1</v>
      </c>
      <c r="C2" s="1" t="s">
        <v>5</v>
      </c>
      <c r="D2" s="1" t="s">
        <v>2</v>
      </c>
      <c r="E2" s="1" t="s">
        <v>3</v>
      </c>
      <c r="F2" s="1" t="s">
        <v>4</v>
      </c>
      <c r="H2" s="1"/>
      <c r="N2" s="1" t="s">
        <v>6</v>
      </c>
      <c r="O2" s="1" t="s">
        <v>16</v>
      </c>
      <c r="Q2" t="s">
        <v>10</v>
      </c>
      <c r="R2" s="1">
        <v>0</v>
      </c>
      <c r="S2" s="1">
        <v>1</v>
      </c>
      <c r="T2" s="1" t="s">
        <v>11</v>
      </c>
      <c r="U2" s="1">
        <v>1</v>
      </c>
      <c r="V2" s="1" t="s">
        <v>11</v>
      </c>
    </row>
    <row r="3" spans="1:22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H3">
        <f>COMBIN(A$1,A3)</f>
        <v>1</v>
      </c>
      <c r="I3">
        <f t="shared" ref="I3:M3" si="0">COMBIN(B$1,B3)</f>
        <v>1</v>
      </c>
      <c r="J3">
        <f t="shared" si="0"/>
        <v>1</v>
      </c>
      <c r="K3">
        <f t="shared" si="0"/>
        <v>1</v>
      </c>
      <c r="L3">
        <f t="shared" si="0"/>
        <v>1</v>
      </c>
      <c r="M3">
        <f t="shared" si="0"/>
        <v>1</v>
      </c>
      <c r="N3">
        <f>PRODUCT(H3:M3)</f>
        <v>1</v>
      </c>
      <c r="O3">
        <f>C3+D3</f>
        <v>0</v>
      </c>
      <c r="R3" t="s">
        <v>12</v>
      </c>
      <c r="S3" t="s">
        <v>12</v>
      </c>
      <c r="T3" t="s">
        <v>12</v>
      </c>
      <c r="U3" t="s">
        <v>15</v>
      </c>
      <c r="V3" t="s">
        <v>15</v>
      </c>
    </row>
    <row r="4" spans="1:22" x14ac:dyDescent="0.25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H4">
        <f t="shared" ref="H4:H27" si="1">COMBIN(A$1,A4)</f>
        <v>1</v>
      </c>
      <c r="I4">
        <f t="shared" ref="I4:I26" si="2">COMBIN(B$1,B4)</f>
        <v>1</v>
      </c>
      <c r="J4">
        <f t="shared" ref="J4:J27" si="3">COMBIN(C$1,C4)</f>
        <v>1</v>
      </c>
      <c r="K4">
        <f t="shared" ref="K4:K27" si="4">COMBIN(D$1,D4)</f>
        <v>1</v>
      </c>
      <c r="L4">
        <f t="shared" ref="L4:L27" si="5">COMBIN(E$1,E4)</f>
        <v>1</v>
      </c>
      <c r="M4">
        <f t="shared" ref="M4:M27" si="6">COMBIN(F$1,F4)</f>
        <v>1</v>
      </c>
      <c r="N4">
        <f t="shared" ref="N4:N27" si="7">PRODUCT(H4:M4)</f>
        <v>1</v>
      </c>
      <c r="O4">
        <f t="shared" ref="O4:O27" si="8">C4+D4</f>
        <v>0</v>
      </c>
      <c r="R4" t="s">
        <v>13</v>
      </c>
      <c r="S4" t="s">
        <v>13</v>
      </c>
      <c r="T4" t="s">
        <v>13</v>
      </c>
      <c r="U4" t="s">
        <v>20</v>
      </c>
      <c r="V4" t="s">
        <v>20</v>
      </c>
    </row>
    <row r="5" spans="1:22" x14ac:dyDescent="0.25">
      <c r="A5">
        <v>0</v>
      </c>
      <c r="B5">
        <v>0</v>
      </c>
      <c r="C5">
        <v>0</v>
      </c>
      <c r="D5">
        <v>0</v>
      </c>
      <c r="E5">
        <v>1</v>
      </c>
      <c r="F5">
        <v>0</v>
      </c>
      <c r="H5">
        <f t="shared" si="1"/>
        <v>1</v>
      </c>
      <c r="I5">
        <f t="shared" si="2"/>
        <v>1</v>
      </c>
      <c r="J5">
        <f t="shared" si="3"/>
        <v>1</v>
      </c>
      <c r="K5">
        <f t="shared" si="4"/>
        <v>1</v>
      </c>
      <c r="L5">
        <f t="shared" si="5"/>
        <v>1</v>
      </c>
      <c r="M5">
        <f t="shared" si="6"/>
        <v>1</v>
      </c>
      <c r="N5">
        <f t="shared" si="7"/>
        <v>1</v>
      </c>
      <c r="O5">
        <f t="shared" si="8"/>
        <v>0</v>
      </c>
      <c r="R5" t="s">
        <v>14</v>
      </c>
      <c r="S5" t="s">
        <v>14</v>
      </c>
      <c r="T5" t="s">
        <v>14</v>
      </c>
      <c r="U5" t="s">
        <v>18</v>
      </c>
      <c r="V5" t="s">
        <v>18</v>
      </c>
    </row>
    <row r="6" spans="1:22" x14ac:dyDescent="0.25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H6">
        <f t="shared" si="1"/>
        <v>1</v>
      </c>
      <c r="I6">
        <f t="shared" si="2"/>
        <v>1</v>
      </c>
      <c r="J6">
        <f t="shared" si="3"/>
        <v>1</v>
      </c>
      <c r="K6">
        <f t="shared" si="4"/>
        <v>1</v>
      </c>
      <c r="L6">
        <f t="shared" si="5"/>
        <v>1</v>
      </c>
      <c r="M6">
        <f t="shared" si="6"/>
        <v>1</v>
      </c>
      <c r="N6">
        <f t="shared" si="7"/>
        <v>1</v>
      </c>
      <c r="O6">
        <f t="shared" si="8"/>
        <v>1</v>
      </c>
      <c r="R6" t="s">
        <v>12</v>
      </c>
      <c r="S6" t="s">
        <v>15</v>
      </c>
      <c r="T6" t="s">
        <v>15</v>
      </c>
      <c r="U6" t="s">
        <v>15</v>
      </c>
      <c r="V6" t="s">
        <v>15</v>
      </c>
    </row>
    <row r="7" spans="1:22" x14ac:dyDescent="0.25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H7">
        <f t="shared" si="1"/>
        <v>1</v>
      </c>
      <c r="I7">
        <f t="shared" si="2"/>
        <v>1</v>
      </c>
      <c r="J7">
        <f t="shared" si="3"/>
        <v>14</v>
      </c>
      <c r="K7">
        <f t="shared" si="4"/>
        <v>1</v>
      </c>
      <c r="L7">
        <f t="shared" si="5"/>
        <v>1</v>
      </c>
      <c r="M7">
        <f t="shared" si="6"/>
        <v>1</v>
      </c>
      <c r="N7">
        <f t="shared" si="7"/>
        <v>14</v>
      </c>
      <c r="O7">
        <f t="shared" si="8"/>
        <v>1</v>
      </c>
      <c r="R7" t="s">
        <v>12</v>
      </c>
      <c r="S7" t="s">
        <v>12</v>
      </c>
      <c r="T7" t="s">
        <v>12</v>
      </c>
      <c r="U7" t="s">
        <v>15</v>
      </c>
      <c r="V7" t="s">
        <v>15</v>
      </c>
    </row>
    <row r="8" spans="1:22" x14ac:dyDescent="0.25">
      <c r="A8">
        <v>0</v>
      </c>
      <c r="B8">
        <v>1</v>
      </c>
      <c r="C8">
        <v>0</v>
      </c>
      <c r="D8">
        <v>0</v>
      </c>
      <c r="E8">
        <v>0</v>
      </c>
      <c r="F8">
        <v>0</v>
      </c>
      <c r="H8">
        <f t="shared" si="1"/>
        <v>1</v>
      </c>
      <c r="I8">
        <f t="shared" si="2"/>
        <v>5</v>
      </c>
      <c r="J8">
        <f t="shared" si="3"/>
        <v>1</v>
      </c>
      <c r="K8">
        <f t="shared" si="4"/>
        <v>1</v>
      </c>
      <c r="L8">
        <f t="shared" si="5"/>
        <v>1</v>
      </c>
      <c r="M8">
        <f t="shared" si="6"/>
        <v>1</v>
      </c>
      <c r="N8">
        <f t="shared" si="7"/>
        <v>5</v>
      </c>
      <c r="O8">
        <f t="shared" si="8"/>
        <v>0</v>
      </c>
      <c r="R8" t="s">
        <v>15</v>
      </c>
      <c r="S8" t="s">
        <v>15</v>
      </c>
      <c r="T8" t="s">
        <v>15</v>
      </c>
      <c r="U8" t="s">
        <v>15</v>
      </c>
      <c r="V8" t="s">
        <v>15</v>
      </c>
    </row>
    <row r="9" spans="1:22" x14ac:dyDescent="0.2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H9">
        <f t="shared" si="1"/>
        <v>133</v>
      </c>
      <c r="I9">
        <f t="shared" si="2"/>
        <v>1</v>
      </c>
      <c r="J9">
        <f t="shared" si="3"/>
        <v>1</v>
      </c>
      <c r="K9">
        <f t="shared" si="4"/>
        <v>1</v>
      </c>
      <c r="L9">
        <f t="shared" si="5"/>
        <v>1</v>
      </c>
      <c r="M9">
        <f t="shared" si="6"/>
        <v>1</v>
      </c>
      <c r="N9">
        <f t="shared" si="7"/>
        <v>133</v>
      </c>
      <c r="O9">
        <f t="shared" si="8"/>
        <v>0</v>
      </c>
      <c r="R9" t="s">
        <v>12</v>
      </c>
      <c r="S9" t="s">
        <v>12</v>
      </c>
      <c r="T9" t="s">
        <v>12</v>
      </c>
      <c r="U9" t="s">
        <v>15</v>
      </c>
      <c r="V9" t="s">
        <v>15</v>
      </c>
    </row>
    <row r="10" spans="1:22" x14ac:dyDescent="0.25">
      <c r="A10">
        <v>0</v>
      </c>
      <c r="B10">
        <v>0</v>
      </c>
      <c r="C10">
        <v>0</v>
      </c>
      <c r="D10">
        <v>0</v>
      </c>
      <c r="E10">
        <v>1</v>
      </c>
      <c r="F10">
        <v>1</v>
      </c>
      <c r="H10">
        <f t="shared" si="1"/>
        <v>1</v>
      </c>
      <c r="I10">
        <f t="shared" si="2"/>
        <v>1</v>
      </c>
      <c r="J10">
        <f t="shared" si="3"/>
        <v>1</v>
      </c>
      <c r="K10">
        <f t="shared" si="4"/>
        <v>1</v>
      </c>
      <c r="L10">
        <f t="shared" si="5"/>
        <v>1</v>
      </c>
      <c r="M10">
        <f t="shared" si="6"/>
        <v>1</v>
      </c>
      <c r="N10">
        <f t="shared" si="7"/>
        <v>1</v>
      </c>
      <c r="O10">
        <f t="shared" si="8"/>
        <v>0</v>
      </c>
      <c r="R10" t="s">
        <v>19</v>
      </c>
      <c r="S10" t="s">
        <v>19</v>
      </c>
      <c r="T10" t="s">
        <v>19</v>
      </c>
      <c r="U10" t="s">
        <v>21</v>
      </c>
      <c r="V10" t="s">
        <v>21</v>
      </c>
    </row>
    <row r="11" spans="1:22" x14ac:dyDescent="0.25">
      <c r="A11">
        <v>0</v>
      </c>
      <c r="B11">
        <v>0</v>
      </c>
      <c r="C11">
        <v>0</v>
      </c>
      <c r="D11">
        <v>1</v>
      </c>
      <c r="E11">
        <v>0</v>
      </c>
      <c r="F11">
        <v>1</v>
      </c>
      <c r="H11">
        <f t="shared" si="1"/>
        <v>1</v>
      </c>
      <c r="I11">
        <f t="shared" si="2"/>
        <v>1</v>
      </c>
      <c r="J11">
        <f t="shared" si="3"/>
        <v>1</v>
      </c>
      <c r="K11">
        <f t="shared" si="4"/>
        <v>1</v>
      </c>
      <c r="L11">
        <f t="shared" si="5"/>
        <v>1</v>
      </c>
      <c r="M11">
        <f t="shared" si="6"/>
        <v>1</v>
      </c>
      <c r="N11">
        <f t="shared" si="7"/>
        <v>1</v>
      </c>
      <c r="O11">
        <f t="shared" si="8"/>
        <v>1</v>
      </c>
      <c r="R11" t="s">
        <v>13</v>
      </c>
      <c r="S11" t="s">
        <v>20</v>
      </c>
      <c r="T11" t="s">
        <v>20</v>
      </c>
      <c r="U11" t="s">
        <v>20</v>
      </c>
      <c r="V11" t="s">
        <v>20</v>
      </c>
    </row>
    <row r="12" spans="1:22" x14ac:dyDescent="0.25">
      <c r="A12">
        <v>0</v>
      </c>
      <c r="B12">
        <v>0</v>
      </c>
      <c r="C12">
        <v>0</v>
      </c>
      <c r="D12">
        <v>1</v>
      </c>
      <c r="E12">
        <v>1</v>
      </c>
      <c r="F12">
        <v>0</v>
      </c>
      <c r="H12">
        <f t="shared" si="1"/>
        <v>1</v>
      </c>
      <c r="I12">
        <f t="shared" si="2"/>
        <v>1</v>
      </c>
      <c r="J12">
        <f t="shared" si="3"/>
        <v>1</v>
      </c>
      <c r="K12">
        <f t="shared" si="4"/>
        <v>1</v>
      </c>
      <c r="L12">
        <f t="shared" si="5"/>
        <v>1</v>
      </c>
      <c r="M12">
        <f t="shared" si="6"/>
        <v>1</v>
      </c>
      <c r="N12">
        <f t="shared" si="7"/>
        <v>1</v>
      </c>
      <c r="O12">
        <f t="shared" si="8"/>
        <v>1</v>
      </c>
      <c r="R12" t="s">
        <v>14</v>
      </c>
      <c r="S12" t="s">
        <v>18</v>
      </c>
      <c r="T12" t="s">
        <v>18</v>
      </c>
      <c r="U12" t="s">
        <v>18</v>
      </c>
      <c r="V12" t="s">
        <v>18</v>
      </c>
    </row>
    <row r="13" spans="1:22" x14ac:dyDescent="0.25">
      <c r="A13">
        <v>0</v>
      </c>
      <c r="B13">
        <v>0</v>
      </c>
      <c r="C13">
        <v>1</v>
      </c>
      <c r="D13">
        <v>0</v>
      </c>
      <c r="E13">
        <v>0</v>
      </c>
      <c r="F13">
        <v>1</v>
      </c>
      <c r="H13">
        <f t="shared" si="1"/>
        <v>1</v>
      </c>
      <c r="I13">
        <f t="shared" si="2"/>
        <v>1</v>
      </c>
      <c r="J13">
        <f t="shared" si="3"/>
        <v>14</v>
      </c>
      <c r="K13">
        <f t="shared" si="4"/>
        <v>1</v>
      </c>
      <c r="L13">
        <f t="shared" si="5"/>
        <v>1</v>
      </c>
      <c r="M13">
        <f t="shared" si="6"/>
        <v>1</v>
      </c>
      <c r="N13">
        <f t="shared" si="7"/>
        <v>14</v>
      </c>
      <c r="O13">
        <f t="shared" si="8"/>
        <v>1</v>
      </c>
      <c r="R13" t="s">
        <v>13</v>
      </c>
      <c r="S13" t="s">
        <v>13</v>
      </c>
      <c r="T13" t="s">
        <v>13</v>
      </c>
      <c r="U13" t="s">
        <v>20</v>
      </c>
      <c r="V13" t="s">
        <v>20</v>
      </c>
    </row>
    <row r="14" spans="1:22" x14ac:dyDescent="0.25">
      <c r="A14">
        <v>0</v>
      </c>
      <c r="B14">
        <v>0</v>
      </c>
      <c r="C14">
        <v>1</v>
      </c>
      <c r="D14">
        <v>0</v>
      </c>
      <c r="E14">
        <v>1</v>
      </c>
      <c r="F14">
        <v>0</v>
      </c>
      <c r="H14">
        <f t="shared" si="1"/>
        <v>1</v>
      </c>
      <c r="I14">
        <f t="shared" si="2"/>
        <v>1</v>
      </c>
      <c r="J14">
        <f t="shared" si="3"/>
        <v>14</v>
      </c>
      <c r="K14">
        <f t="shared" si="4"/>
        <v>1</v>
      </c>
      <c r="L14">
        <f t="shared" si="5"/>
        <v>1</v>
      </c>
      <c r="M14">
        <f t="shared" si="6"/>
        <v>1</v>
      </c>
      <c r="N14">
        <f t="shared" si="7"/>
        <v>14</v>
      </c>
      <c r="O14">
        <f t="shared" si="8"/>
        <v>1</v>
      </c>
      <c r="R14" t="s">
        <v>14</v>
      </c>
      <c r="S14" t="s">
        <v>14</v>
      </c>
      <c r="T14" t="s">
        <v>14</v>
      </c>
      <c r="U14" t="s">
        <v>18</v>
      </c>
      <c r="V14" t="s">
        <v>18</v>
      </c>
    </row>
    <row r="15" spans="1:22" x14ac:dyDescent="0.25">
      <c r="A15" s="3">
        <v>0</v>
      </c>
      <c r="B15" s="3">
        <v>0</v>
      </c>
      <c r="C15" s="3">
        <v>1</v>
      </c>
      <c r="D15" s="3">
        <v>1</v>
      </c>
      <c r="E15" s="3">
        <v>0</v>
      </c>
      <c r="F15" s="3">
        <v>0</v>
      </c>
      <c r="G15" s="3"/>
      <c r="H15" s="3">
        <f t="shared" si="1"/>
        <v>1</v>
      </c>
      <c r="I15" s="3">
        <f t="shared" si="2"/>
        <v>1</v>
      </c>
      <c r="J15" s="3">
        <f t="shared" si="3"/>
        <v>14</v>
      </c>
      <c r="K15" s="3">
        <f t="shared" si="4"/>
        <v>1</v>
      </c>
      <c r="L15" s="3">
        <f t="shared" si="5"/>
        <v>1</v>
      </c>
      <c r="M15" s="3">
        <f t="shared" si="6"/>
        <v>1</v>
      </c>
      <c r="N15" s="3">
        <f t="shared" si="7"/>
        <v>14</v>
      </c>
      <c r="O15" s="3">
        <f t="shared" si="8"/>
        <v>2</v>
      </c>
      <c r="P15" s="3"/>
      <c r="Q15" s="3"/>
      <c r="R15" s="3" t="s">
        <v>12</v>
      </c>
      <c r="S15" s="20" t="s">
        <v>17</v>
      </c>
      <c r="T15" s="3" t="s">
        <v>15</v>
      </c>
      <c r="U15" s="19" t="s">
        <v>15</v>
      </c>
      <c r="V15" s="3" t="s">
        <v>15</v>
      </c>
    </row>
    <row r="16" spans="1:22" x14ac:dyDescent="0.25">
      <c r="A16">
        <v>0</v>
      </c>
      <c r="B16">
        <v>0</v>
      </c>
      <c r="C16">
        <v>2</v>
      </c>
      <c r="D16">
        <v>0</v>
      </c>
      <c r="E16">
        <v>0</v>
      </c>
      <c r="F16">
        <v>0</v>
      </c>
      <c r="H16">
        <f t="shared" si="1"/>
        <v>1</v>
      </c>
      <c r="I16">
        <f t="shared" si="2"/>
        <v>1</v>
      </c>
      <c r="J16">
        <f t="shared" si="3"/>
        <v>91</v>
      </c>
      <c r="K16">
        <f t="shared" si="4"/>
        <v>1</v>
      </c>
      <c r="L16">
        <f t="shared" si="5"/>
        <v>1</v>
      </c>
      <c r="M16">
        <f t="shared" si="6"/>
        <v>1</v>
      </c>
      <c r="N16">
        <f t="shared" si="7"/>
        <v>91</v>
      </c>
      <c r="O16">
        <f t="shared" si="8"/>
        <v>2</v>
      </c>
      <c r="R16" t="s">
        <v>12</v>
      </c>
      <c r="S16" s="18" t="s">
        <v>12</v>
      </c>
      <c r="T16" t="s">
        <v>12</v>
      </c>
      <c r="U16" s="18" t="s">
        <v>15</v>
      </c>
      <c r="V16" t="s">
        <v>15</v>
      </c>
    </row>
    <row r="17" spans="1:22" x14ac:dyDescent="0.25">
      <c r="A17">
        <v>0</v>
      </c>
      <c r="B17">
        <v>1</v>
      </c>
      <c r="C17">
        <v>0</v>
      </c>
      <c r="D17">
        <v>0</v>
      </c>
      <c r="E17">
        <v>0</v>
      </c>
      <c r="F17">
        <v>1</v>
      </c>
      <c r="H17">
        <f t="shared" si="1"/>
        <v>1</v>
      </c>
      <c r="I17">
        <f t="shared" si="2"/>
        <v>5</v>
      </c>
      <c r="J17">
        <f t="shared" si="3"/>
        <v>1</v>
      </c>
      <c r="K17">
        <f t="shared" si="4"/>
        <v>1</v>
      </c>
      <c r="L17">
        <f t="shared" si="5"/>
        <v>1</v>
      </c>
      <c r="M17">
        <f t="shared" si="6"/>
        <v>1</v>
      </c>
      <c r="N17">
        <f t="shared" si="7"/>
        <v>5</v>
      </c>
      <c r="O17">
        <f t="shared" si="8"/>
        <v>0</v>
      </c>
      <c r="R17" t="s">
        <v>20</v>
      </c>
      <c r="S17" t="s">
        <v>20</v>
      </c>
      <c r="T17" t="s">
        <v>20</v>
      </c>
      <c r="U17" t="s">
        <v>20</v>
      </c>
      <c r="V17" t="s">
        <v>20</v>
      </c>
    </row>
    <row r="18" spans="1:22" x14ac:dyDescent="0.25">
      <c r="A18">
        <v>0</v>
      </c>
      <c r="B18">
        <v>1</v>
      </c>
      <c r="C18">
        <v>0</v>
      </c>
      <c r="D18">
        <v>0</v>
      </c>
      <c r="E18">
        <v>1</v>
      </c>
      <c r="F18">
        <v>0</v>
      </c>
      <c r="H18">
        <f t="shared" si="1"/>
        <v>1</v>
      </c>
      <c r="I18">
        <f t="shared" si="2"/>
        <v>5</v>
      </c>
      <c r="J18">
        <f t="shared" si="3"/>
        <v>1</v>
      </c>
      <c r="K18">
        <f t="shared" si="4"/>
        <v>1</v>
      </c>
      <c r="L18">
        <f t="shared" si="5"/>
        <v>1</v>
      </c>
      <c r="M18">
        <f t="shared" si="6"/>
        <v>1</v>
      </c>
      <c r="N18">
        <f t="shared" si="7"/>
        <v>5</v>
      </c>
      <c r="O18">
        <f t="shared" si="8"/>
        <v>0</v>
      </c>
      <c r="R18" t="s">
        <v>18</v>
      </c>
      <c r="S18" t="s">
        <v>18</v>
      </c>
      <c r="T18" t="s">
        <v>18</v>
      </c>
      <c r="U18" t="s">
        <v>18</v>
      </c>
      <c r="V18" t="s">
        <v>18</v>
      </c>
    </row>
    <row r="19" spans="1:22" x14ac:dyDescent="0.25">
      <c r="A19">
        <v>0</v>
      </c>
      <c r="B19">
        <v>1</v>
      </c>
      <c r="C19">
        <v>0</v>
      </c>
      <c r="D19">
        <v>1</v>
      </c>
      <c r="E19">
        <v>0</v>
      </c>
      <c r="F19">
        <v>0</v>
      </c>
      <c r="H19">
        <f t="shared" si="1"/>
        <v>1</v>
      </c>
      <c r="I19">
        <f t="shared" si="2"/>
        <v>5</v>
      </c>
      <c r="J19">
        <f t="shared" si="3"/>
        <v>1</v>
      </c>
      <c r="K19">
        <f t="shared" si="4"/>
        <v>1</v>
      </c>
      <c r="L19">
        <f t="shared" si="5"/>
        <v>1</v>
      </c>
      <c r="M19">
        <f t="shared" si="6"/>
        <v>1</v>
      </c>
      <c r="N19">
        <f t="shared" si="7"/>
        <v>5</v>
      </c>
      <c r="O19">
        <f t="shared" si="8"/>
        <v>1</v>
      </c>
      <c r="R19" t="s">
        <v>15</v>
      </c>
      <c r="S19" t="s">
        <v>15</v>
      </c>
      <c r="T19" t="s">
        <v>15</v>
      </c>
      <c r="U19" t="s">
        <v>15</v>
      </c>
      <c r="V19" t="s">
        <v>15</v>
      </c>
    </row>
    <row r="20" spans="1:22" x14ac:dyDescent="0.25">
      <c r="A20">
        <v>0</v>
      </c>
      <c r="B20">
        <v>1</v>
      </c>
      <c r="C20">
        <v>1</v>
      </c>
      <c r="D20">
        <v>0</v>
      </c>
      <c r="E20">
        <v>0</v>
      </c>
      <c r="F20">
        <v>0</v>
      </c>
      <c r="H20">
        <f t="shared" si="1"/>
        <v>1</v>
      </c>
      <c r="I20">
        <f t="shared" si="2"/>
        <v>5</v>
      </c>
      <c r="J20">
        <f t="shared" si="3"/>
        <v>14</v>
      </c>
      <c r="K20">
        <f t="shared" si="4"/>
        <v>1</v>
      </c>
      <c r="L20">
        <f t="shared" si="5"/>
        <v>1</v>
      </c>
      <c r="M20">
        <f t="shared" si="6"/>
        <v>1</v>
      </c>
      <c r="N20">
        <f t="shared" si="7"/>
        <v>70</v>
      </c>
      <c r="O20">
        <f t="shared" si="8"/>
        <v>1</v>
      </c>
      <c r="R20" t="s">
        <v>15</v>
      </c>
      <c r="S20" t="s">
        <v>15</v>
      </c>
      <c r="T20" t="s">
        <v>15</v>
      </c>
      <c r="U20" t="s">
        <v>15</v>
      </c>
      <c r="V20" t="s">
        <v>15</v>
      </c>
    </row>
    <row r="21" spans="1:22" x14ac:dyDescent="0.25">
      <c r="A21">
        <v>0</v>
      </c>
      <c r="B21">
        <v>2</v>
      </c>
      <c r="C21">
        <v>0</v>
      </c>
      <c r="D21">
        <v>0</v>
      </c>
      <c r="E21">
        <v>0</v>
      </c>
      <c r="F21">
        <v>0</v>
      </c>
      <c r="H21">
        <f t="shared" si="1"/>
        <v>1</v>
      </c>
      <c r="I21">
        <f t="shared" si="2"/>
        <v>10</v>
      </c>
      <c r="J21">
        <f t="shared" si="3"/>
        <v>1</v>
      </c>
      <c r="K21">
        <f t="shared" si="4"/>
        <v>1</v>
      </c>
      <c r="L21">
        <f t="shared" si="5"/>
        <v>1</v>
      </c>
      <c r="M21">
        <f t="shared" si="6"/>
        <v>1</v>
      </c>
      <c r="N21">
        <f t="shared" si="7"/>
        <v>10</v>
      </c>
      <c r="O21">
        <f t="shared" si="8"/>
        <v>0</v>
      </c>
      <c r="R21" t="s">
        <v>15</v>
      </c>
      <c r="S21" t="s">
        <v>15</v>
      </c>
      <c r="T21" t="s">
        <v>15</v>
      </c>
      <c r="U21" t="s">
        <v>15</v>
      </c>
      <c r="V21" t="s">
        <v>15</v>
      </c>
    </row>
    <row r="22" spans="1:22" x14ac:dyDescent="0.25">
      <c r="A22">
        <v>1</v>
      </c>
      <c r="B22">
        <v>0</v>
      </c>
      <c r="C22">
        <v>0</v>
      </c>
      <c r="D22">
        <v>0</v>
      </c>
      <c r="E22">
        <v>0</v>
      </c>
      <c r="F22">
        <v>1</v>
      </c>
      <c r="H22">
        <f t="shared" si="1"/>
        <v>133</v>
      </c>
      <c r="I22">
        <f t="shared" si="2"/>
        <v>1</v>
      </c>
      <c r="J22">
        <f t="shared" si="3"/>
        <v>1</v>
      </c>
      <c r="K22">
        <f t="shared" si="4"/>
        <v>1</v>
      </c>
      <c r="L22">
        <f t="shared" si="5"/>
        <v>1</v>
      </c>
      <c r="M22">
        <f t="shared" si="6"/>
        <v>1</v>
      </c>
      <c r="N22">
        <f t="shared" si="7"/>
        <v>133</v>
      </c>
      <c r="O22">
        <f t="shared" si="8"/>
        <v>0</v>
      </c>
      <c r="R22" t="s">
        <v>13</v>
      </c>
      <c r="S22" t="s">
        <v>13</v>
      </c>
      <c r="T22" t="s">
        <v>13</v>
      </c>
      <c r="U22" t="s">
        <v>20</v>
      </c>
      <c r="V22" t="s">
        <v>20</v>
      </c>
    </row>
    <row r="23" spans="1:22" x14ac:dyDescent="0.25">
      <c r="A23">
        <v>1</v>
      </c>
      <c r="B23">
        <v>0</v>
      </c>
      <c r="C23">
        <v>0</v>
      </c>
      <c r="D23">
        <v>0</v>
      </c>
      <c r="E23">
        <v>1</v>
      </c>
      <c r="F23">
        <v>0</v>
      </c>
      <c r="H23">
        <f t="shared" si="1"/>
        <v>133</v>
      </c>
      <c r="I23">
        <f t="shared" si="2"/>
        <v>1</v>
      </c>
      <c r="J23">
        <f t="shared" si="3"/>
        <v>1</v>
      </c>
      <c r="K23">
        <f t="shared" si="4"/>
        <v>1</v>
      </c>
      <c r="L23">
        <f t="shared" si="5"/>
        <v>1</v>
      </c>
      <c r="M23">
        <f t="shared" si="6"/>
        <v>1</v>
      </c>
      <c r="N23">
        <f t="shared" si="7"/>
        <v>133</v>
      </c>
      <c r="O23">
        <f t="shared" si="8"/>
        <v>0</v>
      </c>
      <c r="R23" t="s">
        <v>14</v>
      </c>
      <c r="S23" t="s">
        <v>14</v>
      </c>
      <c r="T23" t="s">
        <v>14</v>
      </c>
      <c r="U23" t="s">
        <v>18</v>
      </c>
      <c r="V23" t="s">
        <v>18</v>
      </c>
    </row>
    <row r="24" spans="1:22" x14ac:dyDescent="0.25">
      <c r="A24">
        <v>1</v>
      </c>
      <c r="B24">
        <v>0</v>
      </c>
      <c r="C24">
        <v>0</v>
      </c>
      <c r="D24">
        <v>1</v>
      </c>
      <c r="E24">
        <v>0</v>
      </c>
      <c r="F24">
        <v>0</v>
      </c>
      <c r="H24">
        <f t="shared" si="1"/>
        <v>133</v>
      </c>
      <c r="I24">
        <f t="shared" si="2"/>
        <v>1</v>
      </c>
      <c r="J24">
        <f t="shared" si="3"/>
        <v>1</v>
      </c>
      <c r="K24">
        <f t="shared" si="4"/>
        <v>1</v>
      </c>
      <c r="L24">
        <f t="shared" si="5"/>
        <v>1</v>
      </c>
      <c r="M24">
        <f t="shared" si="6"/>
        <v>1</v>
      </c>
      <c r="N24">
        <f t="shared" si="7"/>
        <v>133</v>
      </c>
      <c r="O24">
        <f t="shared" si="8"/>
        <v>1</v>
      </c>
      <c r="R24" t="s">
        <v>12</v>
      </c>
      <c r="S24" t="s">
        <v>15</v>
      </c>
      <c r="T24" t="s">
        <v>15</v>
      </c>
      <c r="U24" t="s">
        <v>15</v>
      </c>
      <c r="V24" t="s">
        <v>15</v>
      </c>
    </row>
    <row r="25" spans="1:22" x14ac:dyDescent="0.25">
      <c r="A25">
        <v>1</v>
      </c>
      <c r="B25">
        <v>0</v>
      </c>
      <c r="C25">
        <v>1</v>
      </c>
      <c r="D25">
        <v>0</v>
      </c>
      <c r="E25">
        <v>0</v>
      </c>
      <c r="F25">
        <v>0</v>
      </c>
      <c r="H25">
        <f t="shared" si="1"/>
        <v>133</v>
      </c>
      <c r="I25">
        <f t="shared" si="2"/>
        <v>1</v>
      </c>
      <c r="J25">
        <f t="shared" si="3"/>
        <v>14</v>
      </c>
      <c r="K25">
        <f t="shared" si="4"/>
        <v>1</v>
      </c>
      <c r="L25">
        <f t="shared" si="5"/>
        <v>1</v>
      </c>
      <c r="M25">
        <f t="shared" si="6"/>
        <v>1</v>
      </c>
      <c r="N25">
        <f t="shared" si="7"/>
        <v>1862</v>
      </c>
      <c r="O25">
        <f t="shared" si="8"/>
        <v>1</v>
      </c>
      <c r="R25" t="s">
        <v>12</v>
      </c>
      <c r="S25" t="s">
        <v>12</v>
      </c>
      <c r="T25" t="s">
        <v>12</v>
      </c>
      <c r="U25" t="s">
        <v>15</v>
      </c>
      <c r="V25" t="s">
        <v>15</v>
      </c>
    </row>
    <row r="26" spans="1:22" x14ac:dyDescent="0.25">
      <c r="A26">
        <v>1</v>
      </c>
      <c r="B26">
        <v>1</v>
      </c>
      <c r="C26">
        <v>0</v>
      </c>
      <c r="D26">
        <v>0</v>
      </c>
      <c r="E26">
        <v>0</v>
      </c>
      <c r="F26">
        <v>0</v>
      </c>
      <c r="H26">
        <f t="shared" si="1"/>
        <v>133</v>
      </c>
      <c r="I26">
        <f t="shared" si="2"/>
        <v>5</v>
      </c>
      <c r="J26">
        <f t="shared" si="3"/>
        <v>1</v>
      </c>
      <c r="K26">
        <f t="shared" si="4"/>
        <v>1</v>
      </c>
      <c r="L26">
        <f t="shared" si="5"/>
        <v>1</v>
      </c>
      <c r="M26">
        <f t="shared" si="6"/>
        <v>1</v>
      </c>
      <c r="N26">
        <f t="shared" si="7"/>
        <v>665</v>
      </c>
      <c r="O26">
        <f t="shared" si="8"/>
        <v>0</v>
      </c>
      <c r="R26" t="s">
        <v>15</v>
      </c>
      <c r="S26" t="s">
        <v>15</v>
      </c>
      <c r="T26" t="s">
        <v>15</v>
      </c>
      <c r="U26" t="s">
        <v>15</v>
      </c>
      <c r="V26" t="s">
        <v>15</v>
      </c>
    </row>
    <row r="27" spans="1:22" x14ac:dyDescent="0.25">
      <c r="A27">
        <v>2</v>
      </c>
      <c r="B27">
        <v>0</v>
      </c>
      <c r="C27">
        <v>0</v>
      </c>
      <c r="D27">
        <v>0</v>
      </c>
      <c r="E27">
        <v>0</v>
      </c>
      <c r="F27">
        <v>0</v>
      </c>
      <c r="H27">
        <f t="shared" si="1"/>
        <v>8778</v>
      </c>
      <c r="I27">
        <f>COMBIN(B$1,B27)</f>
        <v>1</v>
      </c>
      <c r="J27">
        <f t="shared" si="3"/>
        <v>1</v>
      </c>
      <c r="K27">
        <f t="shared" si="4"/>
        <v>1</v>
      </c>
      <c r="L27">
        <f t="shared" si="5"/>
        <v>1</v>
      </c>
      <c r="M27">
        <f t="shared" si="6"/>
        <v>1</v>
      </c>
      <c r="N27">
        <f t="shared" si="7"/>
        <v>8778</v>
      </c>
      <c r="O27">
        <f t="shared" si="8"/>
        <v>0</v>
      </c>
      <c r="R27" t="s">
        <v>12</v>
      </c>
      <c r="S27" t="s">
        <v>12</v>
      </c>
      <c r="T27" t="s">
        <v>12</v>
      </c>
      <c r="U27" t="s">
        <v>15</v>
      </c>
      <c r="V27" t="s">
        <v>15</v>
      </c>
    </row>
  </sheetData>
  <autoFilter ref="A2:F27" xr:uid="{E14837CB-1259-4E8B-9F96-845C59ADB0A1}"/>
  <mergeCells count="2">
    <mergeCell ref="R1:T1"/>
    <mergeCell ref="U1:V1"/>
  </mergeCells>
  <conditionalFormatting sqref="A3:F27">
    <cfRule type="cellIs" dxfId="2" priority="1" operator="equal">
      <formula>2</formula>
    </cfRule>
    <cfRule type="cellIs" dxfId="1" priority="2" operator="equal">
      <formula>1</formula>
    </cfRule>
    <cfRule type="cellIs" dxfId="0" priority="3" operator="equal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E35D-5068-491D-A803-BF8C799E92BE}">
  <dimension ref="A1:J11"/>
  <sheetViews>
    <sheetView tabSelected="1" workbookViewId="0">
      <selection activeCell="N19" sqref="N19"/>
    </sheetView>
  </sheetViews>
  <sheetFormatPr defaultRowHeight="15" x14ac:dyDescent="0.25"/>
  <cols>
    <col min="2" max="10" width="7.7109375" customWidth="1"/>
  </cols>
  <sheetData>
    <row r="1" spans="1:10" x14ac:dyDescent="0.25">
      <c r="B1" s="4" t="s">
        <v>22</v>
      </c>
      <c r="C1" s="4"/>
      <c r="D1" s="4"/>
      <c r="E1" s="4"/>
      <c r="F1" s="4"/>
      <c r="G1" s="4" t="s">
        <v>23</v>
      </c>
      <c r="H1" s="4"/>
      <c r="I1" s="4"/>
      <c r="J1" s="4"/>
    </row>
    <row r="2" spans="1:10" x14ac:dyDescent="0.25">
      <c r="B2" s="4" t="s">
        <v>24</v>
      </c>
      <c r="C2" s="4" t="s">
        <v>25</v>
      </c>
      <c r="D2" s="4" t="s">
        <v>26</v>
      </c>
      <c r="E2" s="4"/>
      <c r="F2" s="4"/>
      <c r="G2" s="4" t="s">
        <v>25</v>
      </c>
      <c r="H2" s="4" t="s">
        <v>26</v>
      </c>
      <c r="I2" s="4"/>
      <c r="J2" s="4"/>
    </row>
    <row r="3" spans="1:10" x14ac:dyDescent="0.25">
      <c r="B3" s="4"/>
      <c r="C3" s="4"/>
      <c r="D3" s="5">
        <v>1</v>
      </c>
      <c r="E3" s="5" t="s">
        <v>27</v>
      </c>
      <c r="F3" s="5" t="s">
        <v>28</v>
      </c>
      <c r="G3" s="4"/>
      <c r="H3" s="5">
        <v>1</v>
      </c>
      <c r="I3" s="5" t="s">
        <v>27</v>
      </c>
      <c r="J3" s="5" t="s">
        <v>28</v>
      </c>
    </row>
    <row r="4" spans="1:10" x14ac:dyDescent="0.25">
      <c r="A4" s="6" t="s">
        <v>12</v>
      </c>
      <c r="B4" s="10">
        <v>11027</v>
      </c>
      <c r="C4" s="11">
        <f>10893+91</f>
        <v>10984</v>
      </c>
      <c r="D4" s="9">
        <v>8912</v>
      </c>
      <c r="E4" s="9">
        <v>1876</v>
      </c>
      <c r="F4" s="9">
        <v>91</v>
      </c>
      <c r="G4" s="11">
        <v>0</v>
      </c>
      <c r="H4" s="9">
        <v>0</v>
      </c>
      <c r="I4" s="9">
        <v>0</v>
      </c>
      <c r="J4" s="12">
        <v>0</v>
      </c>
    </row>
    <row r="5" spans="1:10" x14ac:dyDescent="0.25">
      <c r="A5" s="7" t="s">
        <v>13</v>
      </c>
      <c r="B5" s="10">
        <v>149</v>
      </c>
      <c r="C5" s="13">
        <v>148</v>
      </c>
      <c r="D5" s="9">
        <v>134</v>
      </c>
      <c r="E5" s="9">
        <v>14</v>
      </c>
      <c r="F5" s="9">
        <v>0</v>
      </c>
      <c r="G5" s="13">
        <v>0</v>
      </c>
      <c r="H5" s="9">
        <v>0</v>
      </c>
      <c r="I5" s="9">
        <v>0</v>
      </c>
      <c r="J5" s="12">
        <v>0</v>
      </c>
    </row>
    <row r="6" spans="1:10" x14ac:dyDescent="0.25">
      <c r="A6" s="7" t="s">
        <v>14</v>
      </c>
      <c r="B6" s="10">
        <v>149</v>
      </c>
      <c r="C6" s="13">
        <v>148</v>
      </c>
      <c r="D6" s="9">
        <v>134</v>
      </c>
      <c r="E6" s="9">
        <v>14</v>
      </c>
      <c r="F6" s="9">
        <v>0</v>
      </c>
      <c r="G6" s="13">
        <v>0</v>
      </c>
      <c r="H6" s="9">
        <v>0</v>
      </c>
      <c r="I6" s="9">
        <v>0</v>
      </c>
      <c r="J6" s="12">
        <v>0</v>
      </c>
    </row>
    <row r="7" spans="1:10" x14ac:dyDescent="0.25">
      <c r="A7" s="7" t="s">
        <v>19</v>
      </c>
      <c r="B7" s="10">
        <v>1</v>
      </c>
      <c r="C7" s="13">
        <v>1</v>
      </c>
      <c r="D7" s="9">
        <v>1</v>
      </c>
      <c r="E7" s="9">
        <v>0</v>
      </c>
      <c r="F7" s="9">
        <v>0</v>
      </c>
      <c r="G7" s="13">
        <v>0</v>
      </c>
      <c r="H7" s="9">
        <v>0</v>
      </c>
      <c r="I7" s="9">
        <v>0</v>
      </c>
      <c r="J7" s="12">
        <v>0</v>
      </c>
    </row>
    <row r="8" spans="1:10" x14ac:dyDescent="0.25">
      <c r="A8" s="7" t="s">
        <v>15</v>
      </c>
      <c r="B8" s="10">
        <v>755</v>
      </c>
      <c r="C8" s="13">
        <v>903</v>
      </c>
      <c r="D8" s="9">
        <v>680</v>
      </c>
      <c r="E8" s="9">
        <v>209</v>
      </c>
      <c r="F8" s="9">
        <v>14</v>
      </c>
      <c r="G8" s="13">
        <f>11782+105</f>
        <v>11887</v>
      </c>
      <c r="H8" s="9">
        <v>9592</v>
      </c>
      <c r="I8" s="9">
        <v>2085</v>
      </c>
      <c r="J8" s="12">
        <v>105</v>
      </c>
    </row>
    <row r="9" spans="1:10" x14ac:dyDescent="0.25">
      <c r="A9" s="7" t="s">
        <v>20</v>
      </c>
      <c r="B9" s="10">
        <v>5</v>
      </c>
      <c r="C9" s="13">
        <v>6</v>
      </c>
      <c r="D9" s="9">
        <v>5</v>
      </c>
      <c r="E9" s="9">
        <v>1</v>
      </c>
      <c r="F9" s="9">
        <v>0</v>
      </c>
      <c r="G9" s="13">
        <v>154</v>
      </c>
      <c r="H9" s="9">
        <v>139</v>
      </c>
      <c r="I9" s="9">
        <v>15</v>
      </c>
      <c r="J9" s="12">
        <v>0</v>
      </c>
    </row>
    <row r="10" spans="1:10" x14ac:dyDescent="0.25">
      <c r="A10" s="7" t="s">
        <v>18</v>
      </c>
      <c r="B10" s="10">
        <v>5</v>
      </c>
      <c r="C10" s="13">
        <v>6</v>
      </c>
      <c r="D10" s="9">
        <v>5</v>
      </c>
      <c r="E10" s="9">
        <v>1</v>
      </c>
      <c r="F10" s="9">
        <v>0</v>
      </c>
      <c r="G10" s="13">
        <v>154</v>
      </c>
      <c r="H10" s="9">
        <v>139</v>
      </c>
      <c r="I10" s="9">
        <v>15</v>
      </c>
      <c r="J10" s="12">
        <v>0</v>
      </c>
    </row>
    <row r="11" spans="1:10" x14ac:dyDescent="0.25">
      <c r="A11" s="8" t="s">
        <v>21</v>
      </c>
      <c r="B11" s="14">
        <v>0</v>
      </c>
      <c r="C11" s="15">
        <v>0</v>
      </c>
      <c r="D11" s="16">
        <v>0</v>
      </c>
      <c r="E11" s="16">
        <v>0</v>
      </c>
      <c r="F11" s="16">
        <v>0</v>
      </c>
      <c r="G11" s="15">
        <v>1</v>
      </c>
      <c r="H11" s="16">
        <v>1</v>
      </c>
      <c r="I11" s="16">
        <v>0</v>
      </c>
      <c r="J11" s="17">
        <v>0</v>
      </c>
    </row>
  </sheetData>
  <mergeCells count="7">
    <mergeCell ref="D2:F2"/>
    <mergeCell ref="H2:J2"/>
    <mergeCell ref="B2:B3"/>
    <mergeCell ref="C2:C3"/>
    <mergeCell ref="G2:G3"/>
    <mergeCell ref="B1:F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Landa</dc:creator>
  <cp:lastModifiedBy>Jasper Landa</cp:lastModifiedBy>
  <dcterms:created xsi:type="dcterms:W3CDTF">2025-10-27T10:49:02Z</dcterms:created>
  <dcterms:modified xsi:type="dcterms:W3CDTF">2025-10-27T14:14:10Z</dcterms:modified>
</cp:coreProperties>
</file>